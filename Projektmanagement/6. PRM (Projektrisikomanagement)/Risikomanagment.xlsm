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htldornbirn-my.sharepoint.com/personal/christian_schallner_student_htldornbirn_at/Documents/Schule/Jahr 3/PM/Projekt-IoT-Sensorik/Projektmanagement/"/>
    </mc:Choice>
  </mc:AlternateContent>
  <xr:revisionPtr revIDLastSave="1085" documentId="8_{3BD11907-4ABF-4048-A792-2612933EE217}" xr6:coauthVersionLast="47" xr6:coauthVersionMax="47" xr10:uidLastSave="{C45C8BA0-3DF4-47D5-B4EA-0AEA08D52CCC}"/>
  <bookViews>
    <workbookView xWindow="-110" yWindow="-110" windowWidth="25820" windowHeight="15500" activeTab="1" xr2:uid="{40B666C0-7FE1-4A8D-881C-C60ADEE46586}"/>
  </bookViews>
  <sheets>
    <sheet name="RiskTable" sheetId="1" r:id="rId1"/>
    <sheet name="RiskMatrix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2" i="1"/>
  <c r="E6" i="1"/>
  <c r="E3" i="1"/>
  <c r="E4" i="1"/>
  <c r="E5" i="1"/>
  <c r="E2" i="1"/>
</calcChain>
</file>

<file path=xl/sharedStrings.xml><?xml version="1.0" encoding="utf-8"?>
<sst xmlns="http://schemas.openxmlformats.org/spreadsheetml/2006/main" count="32" uniqueCount="30">
  <si>
    <t>Risiko-Nr.</t>
  </si>
  <si>
    <t>Risikoeschreibung</t>
  </si>
  <si>
    <t>Eintrittswahrscheinlichkeit</t>
  </si>
  <si>
    <t>Auswirkung / Schadenshöhe</t>
  </si>
  <si>
    <t>Risikoziffer</t>
  </si>
  <si>
    <t>% Anteil Gesamtrisiko</t>
  </si>
  <si>
    <t>sehr unwahrscheinlich</t>
  </si>
  <si>
    <t>unwahrscheinlich</t>
  </si>
  <si>
    <t>moeglich</t>
  </si>
  <si>
    <t>wahrscheinlich</t>
  </si>
  <si>
    <t>sehr wahrscheinlich</t>
  </si>
  <si>
    <t>sehr gering</t>
  </si>
  <si>
    <t>gering</t>
  </si>
  <si>
    <t>mittel</t>
  </si>
  <si>
    <t>hoch</t>
  </si>
  <si>
    <t>sehr hoch</t>
  </si>
  <si>
    <t>R1</t>
  </si>
  <si>
    <t>Unzuverlässige Sensoren</t>
  </si>
  <si>
    <t>R2</t>
  </si>
  <si>
    <t>Verbindungsprobleme</t>
  </si>
  <si>
    <t>R3</t>
  </si>
  <si>
    <t>Unrealistischer Zeitplan</t>
  </si>
  <si>
    <t>R4</t>
  </si>
  <si>
    <t>Lieferantenausfall / keine Sensoren</t>
  </si>
  <si>
    <t>Maßnahmen</t>
  </si>
  <si>
    <t>Mindestens einen Sensor als Ersatz</t>
  </si>
  <si>
    <t>Mehrere alternative Datenübertragungsarten</t>
  </si>
  <si>
    <t>Ziele genau terminieren</t>
  </si>
  <si>
    <t>Seriösen Lieferanten auswählen</t>
  </si>
  <si>
    <t>R1, 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</si>
</sst>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R0"/>
  </numFmts>
  <fonts count="5" x14ac:knownFonts="1">
    <font>
      <sz val="11"/>
      <color theme="1"/>
      <name val="Aptos Narrow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D93D9"/>
        <bgColor rgb="FF000000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8" xfId="0" applyBorder="1"/>
    <xf numFmtId="0" fontId="0" fillId="0" borderId="5" xfId="0" applyBorder="1"/>
    <xf numFmtId="0" fontId="0" fillId="0" borderId="9" xfId="0" applyBorder="1" applyAlignment="1">
      <alignment horizontal="center" vertical="center" wrapText="1"/>
    </xf>
    <xf numFmtId="164" fontId="0" fillId="2" borderId="10" xfId="0" applyNumberForma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4" fontId="0" fillId="2" borderId="7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164" fontId="1" fillId="4" borderId="4" xfId="0" applyNumberFormat="1" applyFont="1" applyFill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center" vertical="center"/>
    </xf>
    <xf numFmtId="164" fontId="1" fillId="4" borderId="3" xfId="0" applyNumberFormat="1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0" borderId="5" xfId="0" applyFont="1" applyBorder="1"/>
    <xf numFmtId="0" fontId="1" fillId="0" borderId="9" xfId="0" applyFont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 textRotation="90"/>
    </xf>
    <xf numFmtId="0" fontId="0" fillId="0" borderId="0" xfId="0" applyAlignment="1">
      <alignment horizontal="center" vertical="top"/>
    </xf>
    <xf numFmtId="0" fontId="4" fillId="5" borderId="1" xfId="0" applyFont="1" applyFill="1" applyBorder="1"/>
    <xf numFmtId="0" fontId="3" fillId="0" borderId="0" xfId="0" applyFont="1"/>
    <xf numFmtId="9" fontId="3" fillId="0" borderId="0" xfId="0" applyNumberFormat="1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615950</xdr:colOff>
          <xdr:row>13</xdr:row>
          <xdr:rowOff>6350</xdr:rowOff>
        </xdr:from>
        <xdr:to>
          <xdr:col>4</xdr:col>
          <xdr:colOff>82550</xdr:colOff>
          <xdr:row>14</xdr:row>
          <xdr:rowOff>44450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Daten Aktualisieren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330200</xdr:colOff>
      <xdr:row>2</xdr:row>
      <xdr:rowOff>76200</xdr:rowOff>
    </xdr:from>
    <xdr:to>
      <xdr:col>0</xdr:col>
      <xdr:colOff>330200</xdr:colOff>
      <xdr:row>6</xdr:row>
      <xdr:rowOff>133350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41A7D9A6-D096-68A0-719C-348B0C94D593}"/>
            </a:ext>
          </a:extLst>
        </xdr:cNvPr>
        <xdr:cNvCxnSpPr/>
      </xdr:nvCxnSpPr>
      <xdr:spPr>
        <a:xfrm>
          <a:off x="330200" y="1136650"/>
          <a:ext cx="0" cy="8445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599208</xdr:colOff>
      <xdr:row>0</xdr:row>
      <xdr:rowOff>259195</xdr:rowOff>
    </xdr:from>
    <xdr:to>
      <xdr:col>6</xdr:col>
      <xdr:colOff>450272</xdr:colOff>
      <xdr:row>0</xdr:row>
      <xdr:rowOff>259195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AC5DF37-24D9-45AD-A022-403F6D60242D}"/>
            </a:ext>
          </a:extLst>
        </xdr:cNvPr>
        <xdr:cNvCxnSpPr/>
      </xdr:nvCxnSpPr>
      <xdr:spPr>
        <a:xfrm flipV="1">
          <a:off x="1055253" y="259195"/>
          <a:ext cx="395258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6C4D3-C327-4A7E-81B0-B77A45F5486B}">
  <sheetPr codeName="Tabelle1"/>
  <dimension ref="A1:G7"/>
  <sheetViews>
    <sheetView workbookViewId="0">
      <selection activeCell="C36" sqref="C36"/>
    </sheetView>
  </sheetViews>
  <sheetFormatPr baseColWidth="10" defaultRowHeight="14.5" x14ac:dyDescent="0.35"/>
  <cols>
    <col min="1" max="1" width="8.7265625" bestFit="1" customWidth="1"/>
    <col min="2" max="2" width="15.54296875" bestFit="1" customWidth="1"/>
    <col min="3" max="3" width="22.54296875" bestFit="1" customWidth="1"/>
    <col min="4" max="4" width="23.453125" bestFit="1" customWidth="1"/>
    <col min="5" max="5" width="9.6328125" bestFit="1" customWidth="1"/>
    <col min="6" max="6" width="18.54296875" bestFit="1" customWidth="1"/>
  </cols>
  <sheetData>
    <row r="1" spans="1:7" x14ac:dyDescent="0.3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24</v>
      </c>
    </row>
    <row r="2" spans="1:7" x14ac:dyDescent="0.35">
      <c r="A2" s="26" t="s">
        <v>16</v>
      </c>
      <c r="B2" s="26" t="s">
        <v>17</v>
      </c>
      <c r="C2" s="26">
        <v>2</v>
      </c>
      <c r="D2" s="26">
        <v>3</v>
      </c>
      <c r="E2">
        <f>C2*D2</f>
        <v>6</v>
      </c>
      <c r="F2" s="27">
        <f>($F$6/$E$6)*E2</f>
        <v>0.22222222222222221</v>
      </c>
      <c r="G2" s="26" t="s">
        <v>25</v>
      </c>
    </row>
    <row r="3" spans="1:7" x14ac:dyDescent="0.35">
      <c r="A3" s="26" t="s">
        <v>18</v>
      </c>
      <c r="B3" s="26" t="s">
        <v>19</v>
      </c>
      <c r="C3" s="26">
        <v>1</v>
      </c>
      <c r="D3" s="26">
        <v>3</v>
      </c>
      <c r="E3">
        <f t="shared" ref="E3:E5" si="0">C3*D3</f>
        <v>3</v>
      </c>
      <c r="F3" s="27">
        <f t="shared" ref="F3:F5" si="1">($F$6/$E$6)*E3</f>
        <v>0.1111111111111111</v>
      </c>
      <c r="G3" s="26" t="s">
        <v>26</v>
      </c>
    </row>
    <row r="4" spans="1:7" x14ac:dyDescent="0.35">
      <c r="A4" s="26" t="s">
        <v>20</v>
      </c>
      <c r="B4" s="26" t="s">
        <v>21</v>
      </c>
      <c r="C4" s="26">
        <v>3</v>
      </c>
      <c r="D4" s="26">
        <v>4</v>
      </c>
      <c r="E4">
        <f t="shared" si="0"/>
        <v>12</v>
      </c>
      <c r="F4" s="27">
        <f t="shared" si="1"/>
        <v>0.44444444444444442</v>
      </c>
      <c r="G4" s="26" t="s">
        <v>27</v>
      </c>
    </row>
    <row r="5" spans="1:7" x14ac:dyDescent="0.35">
      <c r="A5" s="26" t="s">
        <v>22</v>
      </c>
      <c r="B5" s="26" t="s">
        <v>23</v>
      </c>
      <c r="C5" s="26">
        <v>2</v>
      </c>
      <c r="D5" s="26">
        <v>3</v>
      </c>
      <c r="E5">
        <f t="shared" si="0"/>
        <v>6</v>
      </c>
      <c r="F5" s="27">
        <f t="shared" si="1"/>
        <v>0.22222222222222221</v>
      </c>
      <c r="G5" s="26" t="s">
        <v>28</v>
      </c>
    </row>
    <row r="6" spans="1:7" x14ac:dyDescent="0.35">
      <c r="A6" s="26"/>
      <c r="B6" s="26"/>
      <c r="C6" s="26"/>
      <c r="D6" s="26"/>
      <c r="E6" s="26">
        <f>SUM(E2:E5)</f>
        <v>27</v>
      </c>
      <c r="F6" s="27">
        <v>1</v>
      </c>
      <c r="G6" s="26"/>
    </row>
    <row r="7" spans="1:7" x14ac:dyDescent="0.35">
      <c r="E7" s="26"/>
      <c r="F7" s="27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88ED4-E055-4E14-A69A-B70CE0CE3770}">
  <sheetPr codeName="Tabelle2"/>
  <dimension ref="A1:G8"/>
  <sheetViews>
    <sheetView tabSelected="1" zoomScale="145" zoomScaleNormal="145" workbookViewId="0">
      <selection activeCell="G12" sqref="G12"/>
    </sheetView>
  </sheetViews>
  <sheetFormatPr baseColWidth="10" defaultRowHeight="14.5" x14ac:dyDescent="0.35"/>
  <cols>
    <col min="1" max="1" width="6.54296875" customWidth="1"/>
    <col min="2" max="2" width="11.36328125" customWidth="1"/>
    <col min="6" max="6" width="14.6328125" customWidth="1"/>
  </cols>
  <sheetData>
    <row r="1" spans="1:7" ht="27.5" customHeight="1" x14ac:dyDescent="0.35">
      <c r="B1" s="24"/>
      <c r="C1" s="24"/>
      <c r="D1" s="24"/>
      <c r="E1" s="24"/>
      <c r="F1" s="24"/>
      <c r="G1" s="24"/>
    </row>
    <row r="2" spans="1:7" ht="41.5" customHeight="1" thickBot="1" x14ac:dyDescent="0.4">
      <c r="C2" s="3" t="s">
        <v>6</v>
      </c>
      <c r="D2" s="3" t="s">
        <v>7</v>
      </c>
      <c r="E2" s="21" t="s">
        <v>8</v>
      </c>
      <c r="F2" s="3" t="s">
        <v>9</v>
      </c>
      <c r="G2" s="3" t="s">
        <v>10</v>
      </c>
    </row>
    <row r="3" spans="1:7" ht="15.5" thickTop="1" thickBot="1" x14ac:dyDescent="0.4">
      <c r="A3" s="23"/>
      <c r="B3" s="2" t="s">
        <v>11</v>
      </c>
      <c r="C3" s="4"/>
      <c r="D3" s="17"/>
      <c r="E3" s="5"/>
      <c r="F3" s="17"/>
      <c r="G3" s="6"/>
    </row>
    <row r="4" spans="1:7" ht="15.5" thickTop="1" thickBot="1" x14ac:dyDescent="0.4">
      <c r="A4" s="23"/>
      <c r="B4" s="20" t="s">
        <v>12</v>
      </c>
      <c r="C4" s="7"/>
      <c r="D4" s="8"/>
      <c r="E4" s="14"/>
      <c r="F4" s="8"/>
      <c r="G4" s="22"/>
    </row>
    <row r="5" spans="1:7" ht="15.5" thickTop="1" thickBot="1" x14ac:dyDescent="0.4">
      <c r="A5" s="23"/>
      <c r="B5" s="2" t="s">
        <v>13</v>
      </c>
      <c r="C5" s="15" t="s">
        <v>18</v>
      </c>
      <c r="D5" s="14" t="s">
        <v>29</v>
      </c>
      <c r="E5" s="9"/>
      <c r="F5" s="19"/>
      <c r="G5" s="10"/>
    </row>
    <row r="6" spans="1:7" ht="15.5" thickTop="1" thickBot="1" x14ac:dyDescent="0.4">
      <c r="A6" s="23"/>
      <c r="B6" s="2" t="s">
        <v>14</v>
      </c>
      <c r="C6" s="7"/>
      <c r="D6" s="14"/>
      <c r="E6" s="19" t="s">
        <v>20</v>
      </c>
      <c r="F6" s="19"/>
      <c r="G6" s="10"/>
    </row>
    <row r="7" spans="1:7" ht="15.5" thickTop="1" thickBot="1" x14ac:dyDescent="0.4">
      <c r="A7" s="23"/>
      <c r="B7" s="1" t="s">
        <v>15</v>
      </c>
      <c r="C7" s="11"/>
      <c r="D7" s="12"/>
      <c r="E7" s="13"/>
      <c r="F7" s="18"/>
      <c r="G7" s="16"/>
    </row>
    <row r="8" spans="1:7" ht="15" thickTop="1" x14ac:dyDescent="0.35"/>
  </sheetData>
  <mergeCells count="2">
    <mergeCell ref="A3:A7"/>
    <mergeCell ref="B1:G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RiskMatrix">
                <anchor moveWithCells="1">
                  <from>
                    <xdr:col>1</xdr:col>
                    <xdr:colOff>615950</xdr:colOff>
                    <xdr:row>13</xdr:row>
                    <xdr:rowOff>6350</xdr:rowOff>
                  </from>
                  <to>
                    <xdr:col>4</xdr:col>
                    <xdr:colOff>82550</xdr:colOff>
                    <xdr:row>14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RiskTable</vt:lpstr>
      <vt:lpstr>RiskMatrix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Schallner Christian</dc:creator>
  <cp:lastModifiedBy>Schallner Christian</cp:lastModifiedBy>
  <dcterms:created xsi:type="dcterms:W3CDTF">2024-06-12T06:27:26Z</dcterms:created>
  <dcterms:modified xsi:type="dcterms:W3CDTF">2024-06-13T14:05:39Z</dcterms:modified>
</cp:coreProperties>
</file>