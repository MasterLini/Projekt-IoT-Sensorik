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628" codeName="{60716B99-48EF-4627-542C-1B4CF24DBC8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htldornbirn-my.sharepoint.com/personal/christian_schallner_student_htldornbirn_at/Documents/Schule/Jahr 3/PM/Projekt-IoT-Sensorik/Projektmanagement/"/>
    </mc:Choice>
  </mc:AlternateContent>
  <xr:revisionPtr revIDLastSave="0" documentId="8_{3BD11907-4ABF-4048-A792-2612933EE217}" xr6:coauthVersionLast="47" xr6:coauthVersionMax="47" xr10:uidLastSave="{00000000-0000-0000-0000-000000000000}"/>
  <bookViews>
    <workbookView xWindow="-110" yWindow="-110" windowWidth="25820" windowHeight="15500" activeTab="1" xr2:uid="{40B666C0-7FE1-4A8D-881C-C60ADEE46586}"/>
  </bookViews>
  <sheets>
    <sheet name="RiskTable" sheetId="1" r:id="rId1"/>
    <sheet name="RiskMatrix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F9" i="1"/>
  <c r="E2" i="1"/>
  <c r="E9" i="1" l="1"/>
  <c r="F3" i="1" l="1"/>
  <c r="F4" i="1"/>
  <c r="F5" i="1"/>
  <c r="F7" i="1"/>
  <c r="F2" i="1"/>
  <c r="F6" i="1"/>
  <c r="F8" i="1"/>
</calcChain>
</file>

<file path=xl/sharedStrings.xml><?xml version="1.0" encoding="utf-8"?>
<sst xmlns="http://schemas.openxmlformats.org/spreadsheetml/2006/main" count="17" uniqueCount="17">
  <si>
    <t>Risiko-Nr.</t>
  </si>
  <si>
    <t>Risikoeschreibung</t>
  </si>
  <si>
    <t>Eintrittswahrscheinlichkeit</t>
  </si>
  <si>
    <t>Auswirkung / Schadenshöhe</t>
  </si>
  <si>
    <t>Risikoziffer</t>
  </si>
  <si>
    <t>% Anteil Gesamtrisiko</t>
  </si>
  <si>
    <t>sehr unwahrscheinlich</t>
  </si>
  <si>
    <t>unwahrscheinlich</t>
  </si>
  <si>
    <t>moeglich</t>
  </si>
  <si>
    <t>wahrscheinlich</t>
  </si>
  <si>
    <t>sehr wahrscheinlich</t>
  </si>
  <si>
    <t>sehr gering</t>
  </si>
  <si>
    <t>gering</t>
  </si>
  <si>
    <t>mittel</t>
  </si>
  <si>
    <t>hoch</t>
  </si>
  <si>
    <t>sehr hoch</t>
  </si>
  <si>
    <t>3, 4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</si>
</sst>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\R0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2" fillId="2" borderId="1" xfId="0" applyFont="1" applyFill="1" applyBorder="1"/>
    <xf numFmtId="165" fontId="0" fillId="0" borderId="0" xfId="0" applyNumberFormat="1"/>
    <xf numFmtId="9" fontId="0" fillId="0" borderId="0" xfId="1" applyFont="1"/>
    <xf numFmtId="0" fontId="0" fillId="0" borderId="0" xfId="0"/>
    <xf numFmtId="0" fontId="0" fillId="0" borderId="8" xfId="0" applyBorder="1"/>
    <xf numFmtId="0" fontId="0" fillId="0" borderId="5" xfId="0" applyBorder="1"/>
    <xf numFmtId="0" fontId="0" fillId="0" borderId="5" xfId="0" applyFont="1" applyBorder="1"/>
    <xf numFmtId="0" fontId="0" fillId="0" borderId="9" xfId="0" applyBorder="1" applyAlignment="1">
      <alignment horizontal="center" vertical="center" wrapText="1"/>
    </xf>
    <xf numFmtId="0" fontId="0" fillId="0" borderId="9" xfId="0" applyFont="1" applyBorder="1" applyAlignment="1">
      <alignment horizontal="center" vertical="center" wrapText="1"/>
    </xf>
    <xf numFmtId="165" fontId="0" fillId="3" borderId="10" xfId="0" applyNumberFormat="1" applyFont="1" applyFill="1" applyBorder="1" applyAlignment="1">
      <alignment horizontal="center" vertical="center"/>
    </xf>
    <xf numFmtId="165" fontId="0" fillId="3" borderId="11" xfId="0" applyNumberFormat="1" applyFont="1" applyFill="1" applyBorder="1" applyAlignment="1">
      <alignment horizontal="center" vertical="center"/>
    </xf>
    <xf numFmtId="165" fontId="0" fillId="3" borderId="12" xfId="0" applyNumberFormat="1" applyFont="1" applyFill="1" applyBorder="1" applyAlignment="1">
      <alignment horizontal="center" vertical="center"/>
    </xf>
    <xf numFmtId="165" fontId="0" fillId="3" borderId="6" xfId="0" applyNumberFormat="1" applyFont="1" applyFill="1" applyBorder="1" applyAlignment="1">
      <alignment horizontal="center" vertical="center"/>
    </xf>
    <xf numFmtId="165" fontId="0" fillId="4" borderId="1" xfId="0" applyNumberFormat="1" applyFont="1" applyFill="1" applyBorder="1" applyAlignment="1">
      <alignment horizontal="center" vertical="center"/>
    </xf>
    <xf numFmtId="165" fontId="0" fillId="4" borderId="2" xfId="0" applyNumberFormat="1" applyFont="1" applyFill="1" applyBorder="1" applyAlignment="1">
      <alignment horizontal="center" vertical="center"/>
    </xf>
    <xf numFmtId="165" fontId="0" fillId="5" borderId="1" xfId="0" applyNumberFormat="1" applyFont="1" applyFill="1" applyBorder="1" applyAlignment="1">
      <alignment horizontal="center" vertical="center"/>
    </xf>
    <xf numFmtId="165" fontId="0" fillId="5" borderId="2" xfId="0" applyNumberFormat="1" applyFont="1" applyFill="1" applyBorder="1" applyAlignment="1">
      <alignment horizontal="center" vertical="center"/>
    </xf>
    <xf numFmtId="165" fontId="0" fillId="3" borderId="7" xfId="0" applyNumberFormat="1" applyFont="1" applyFill="1" applyBorder="1" applyAlignment="1">
      <alignment horizontal="center" vertical="center"/>
    </xf>
    <xf numFmtId="165" fontId="0" fillId="4" borderId="3" xfId="0" applyNumberFormat="1" applyFont="1" applyFill="1" applyBorder="1" applyAlignment="1">
      <alignment horizontal="center" vertical="center"/>
    </xf>
    <xf numFmtId="165" fontId="0" fillId="5" borderId="3" xfId="0" applyNumberFormat="1" applyFont="1" applyFill="1" applyBorder="1" applyAlignment="1">
      <alignment horizontal="center" vertical="center"/>
    </xf>
    <xf numFmtId="165" fontId="3" fillId="4" borderId="1" xfId="0" applyNumberFormat="1" applyFont="1" applyFill="1" applyBorder="1" applyAlignment="1">
      <alignment horizontal="center" vertical="center"/>
    </xf>
    <xf numFmtId="165" fontId="3" fillId="3" borderId="6" xfId="0" applyNumberFormat="1" applyFont="1" applyFill="1" applyBorder="1" applyAlignment="1">
      <alignment horizontal="center" vertical="center"/>
    </xf>
    <xf numFmtId="165" fontId="3" fillId="5" borderId="4" xfId="0" applyNumberFormat="1" applyFont="1" applyFill="1" applyBorder="1" applyAlignment="1">
      <alignment horizontal="center" vertical="center"/>
    </xf>
    <xf numFmtId="165" fontId="3" fillId="3" borderId="11" xfId="0" applyNumberFormat="1" applyFont="1" applyFill="1" applyBorder="1" applyAlignment="1">
      <alignment horizontal="center" vertical="center"/>
    </xf>
    <xf numFmtId="165" fontId="3" fillId="5" borderId="3" xfId="0" applyNumberFormat="1" applyFont="1" applyFill="1" applyBorder="1" applyAlignment="1">
      <alignment horizontal="center" vertical="center"/>
    </xf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615950</xdr:colOff>
          <xdr:row>13</xdr:row>
          <xdr:rowOff>6350</xdr:rowOff>
        </xdr:from>
        <xdr:to>
          <xdr:col>4</xdr:col>
          <xdr:colOff>82550</xdr:colOff>
          <xdr:row>14</xdr:row>
          <xdr:rowOff>44450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Daten Aktualisieren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6C4D3-C327-4A7E-81B0-B77A45F5486B}">
  <sheetPr codeName="Tabelle1"/>
  <dimension ref="A1:F9"/>
  <sheetViews>
    <sheetView workbookViewId="0">
      <selection activeCell="C35" sqref="C35:C36"/>
    </sheetView>
  </sheetViews>
  <sheetFormatPr baseColWidth="10" defaultRowHeight="14.5" x14ac:dyDescent="0.35"/>
  <cols>
    <col min="1" max="1" width="8.7265625" bestFit="1" customWidth="1"/>
    <col min="2" max="2" width="15.54296875" bestFit="1" customWidth="1"/>
    <col min="3" max="3" width="22.54296875" bestFit="1" customWidth="1"/>
    <col min="4" max="4" width="23.453125" bestFit="1" customWidth="1"/>
    <col min="5" max="5" width="9.6328125" bestFit="1" customWidth="1"/>
    <col min="6" max="6" width="18.5429687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5">
      <c r="A2" s="2">
        <v>1</v>
      </c>
      <c r="C2">
        <v>2</v>
      </c>
      <c r="D2">
        <v>4</v>
      </c>
      <c r="E2">
        <f>C2*D2</f>
        <v>8</v>
      </c>
      <c r="F2" s="3">
        <f>($F$9/$E$9)*E2</f>
        <v>8.7912087912087919E-2</v>
      </c>
    </row>
    <row r="3" spans="1:6" x14ac:dyDescent="0.35">
      <c r="A3" s="2">
        <v>2</v>
      </c>
      <c r="C3">
        <v>1</v>
      </c>
      <c r="D3">
        <v>3</v>
      </c>
      <c r="E3">
        <f t="shared" ref="E3:E8" si="0">C3*D3</f>
        <v>3</v>
      </c>
      <c r="F3" s="3">
        <f t="shared" ref="F3:F8" si="1">($F$9/$E$9)*E3</f>
        <v>3.2967032967032968E-2</v>
      </c>
    </row>
    <row r="4" spans="1:6" x14ac:dyDescent="0.35">
      <c r="A4" s="2">
        <v>3</v>
      </c>
      <c r="C4">
        <v>5</v>
      </c>
      <c r="D4">
        <v>5</v>
      </c>
      <c r="E4">
        <f t="shared" si="0"/>
        <v>25</v>
      </c>
      <c r="F4" s="3">
        <f t="shared" si="1"/>
        <v>0.27472527472527475</v>
      </c>
    </row>
    <row r="5" spans="1:6" x14ac:dyDescent="0.35">
      <c r="A5" s="2">
        <v>4</v>
      </c>
      <c r="C5">
        <v>5</v>
      </c>
      <c r="D5">
        <v>5</v>
      </c>
      <c r="E5">
        <f t="shared" si="0"/>
        <v>25</v>
      </c>
      <c r="F5" s="3">
        <f t="shared" si="1"/>
        <v>0.27472527472527475</v>
      </c>
    </row>
    <row r="6" spans="1:6" x14ac:dyDescent="0.35">
      <c r="A6" s="2">
        <v>5</v>
      </c>
      <c r="C6">
        <v>4</v>
      </c>
      <c r="D6">
        <v>1</v>
      </c>
      <c r="E6">
        <f t="shared" si="0"/>
        <v>4</v>
      </c>
      <c r="F6" s="3">
        <f t="shared" si="1"/>
        <v>4.3956043956043959E-2</v>
      </c>
    </row>
    <row r="7" spans="1:6" x14ac:dyDescent="0.35">
      <c r="A7" s="2">
        <v>6</v>
      </c>
      <c r="C7">
        <v>3</v>
      </c>
      <c r="D7">
        <v>2</v>
      </c>
      <c r="E7">
        <f t="shared" si="0"/>
        <v>6</v>
      </c>
      <c r="F7" s="3">
        <f t="shared" si="1"/>
        <v>6.5934065934065936E-2</v>
      </c>
    </row>
    <row r="8" spans="1:6" x14ac:dyDescent="0.35">
      <c r="A8" s="2">
        <v>7</v>
      </c>
      <c r="C8">
        <v>4</v>
      </c>
      <c r="D8">
        <v>5</v>
      </c>
      <c r="E8">
        <f t="shared" si="0"/>
        <v>20</v>
      </c>
      <c r="F8" s="3">
        <f t="shared" si="1"/>
        <v>0.2197802197802198</v>
      </c>
    </row>
    <row r="9" spans="1:6" x14ac:dyDescent="0.35">
      <c r="E9">
        <f>SUM(E2:E8)</f>
        <v>91</v>
      </c>
      <c r="F9" s="3">
        <f>1</f>
        <v>1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88ED4-E055-4E14-A69A-B70CE0CE3770}">
  <sheetPr codeName="Tabelle2"/>
  <dimension ref="A1:F7"/>
  <sheetViews>
    <sheetView tabSelected="1" workbookViewId="0">
      <selection activeCell="E11" sqref="E11"/>
    </sheetView>
  </sheetViews>
  <sheetFormatPr baseColWidth="10" defaultRowHeight="14.5" x14ac:dyDescent="0.35"/>
  <cols>
    <col min="2" max="2" width="11.36328125" customWidth="1"/>
    <col min="6" max="6" width="14.6328125" customWidth="1"/>
  </cols>
  <sheetData>
    <row r="1" spans="1:6" ht="39.5" customHeight="1" thickBot="1" x14ac:dyDescent="0.4">
      <c r="A1" s="4"/>
      <c r="B1" s="8" t="s">
        <v>6</v>
      </c>
      <c r="C1" s="8" t="s">
        <v>7</v>
      </c>
      <c r="D1" s="8" t="s">
        <v>8</v>
      </c>
      <c r="E1" s="9" t="s">
        <v>9</v>
      </c>
      <c r="F1" s="8" t="s">
        <v>10</v>
      </c>
    </row>
    <row r="2" spans="1:6" ht="15.5" thickTop="1" thickBot="1" x14ac:dyDescent="0.4">
      <c r="A2" s="6" t="s">
        <v>11</v>
      </c>
      <c r="B2" s="10"/>
      <c r="C2" s="11"/>
      <c r="D2" s="11"/>
      <c r="E2" s="24">
        <v>5</v>
      </c>
      <c r="F2" s="12"/>
    </row>
    <row r="3" spans="1:6" ht="15.5" thickTop="1" thickBot="1" x14ac:dyDescent="0.4">
      <c r="A3" s="6" t="s">
        <v>12</v>
      </c>
      <c r="B3" s="13"/>
      <c r="C3" s="14"/>
      <c r="D3" s="21">
        <v>6</v>
      </c>
      <c r="E3" s="14"/>
      <c r="F3" s="15"/>
    </row>
    <row r="4" spans="1:6" ht="15.5" thickTop="1" thickBot="1" x14ac:dyDescent="0.4">
      <c r="A4" s="6" t="s">
        <v>13</v>
      </c>
      <c r="B4" s="22">
        <v>2</v>
      </c>
      <c r="C4" s="14"/>
      <c r="D4" s="16"/>
      <c r="E4" s="16"/>
      <c r="F4" s="17"/>
    </row>
    <row r="5" spans="1:6" ht="15.5" thickTop="1" thickBot="1" x14ac:dyDescent="0.4">
      <c r="A5" s="7" t="s">
        <v>14</v>
      </c>
      <c r="B5" s="13"/>
      <c r="C5" s="21">
        <v>1</v>
      </c>
      <c r="D5" s="16"/>
      <c r="E5" s="16"/>
      <c r="F5" s="17"/>
    </row>
    <row r="6" spans="1:6" ht="15.5" thickTop="1" thickBot="1" x14ac:dyDescent="0.4">
      <c r="A6" s="5" t="s">
        <v>15</v>
      </c>
      <c r="B6" s="18"/>
      <c r="C6" s="19"/>
      <c r="D6" s="20"/>
      <c r="E6" s="25">
        <v>7</v>
      </c>
      <c r="F6" s="23" t="s">
        <v>16</v>
      </c>
    </row>
    <row r="7" spans="1:6" ht="15" thickTop="1" x14ac:dyDescent="0.35"/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pdateRiskMatrix">
                <anchor moveWithCells="1">
                  <from>
                    <xdr:col>1</xdr:col>
                    <xdr:colOff>615950</xdr:colOff>
                    <xdr:row>13</xdr:row>
                    <xdr:rowOff>6350</xdr:rowOff>
                  </from>
                  <to>
                    <xdr:col>4</xdr:col>
                    <xdr:colOff>82550</xdr:colOff>
                    <xdr:row>14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RiskTable</vt:lpstr>
      <vt:lpstr>RiskMatrix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Schallner Christian</dc:creator>
  <cp:lastModifiedBy>Schallner Christian</cp:lastModifiedBy>
  <dcterms:created xsi:type="dcterms:W3CDTF">2024-06-12T06:27:26Z</dcterms:created>
  <dcterms:modified xsi:type="dcterms:W3CDTF">2024-06-12T07:02:04Z</dcterms:modified>
</cp:coreProperties>
</file>